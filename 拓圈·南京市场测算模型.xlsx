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总览" sheetId="1" state="visible" r:id="rId1"/>
    <sheet name="星球规划" sheetId="2" state="visible" r:id="rId2"/>
    <sheet name="营收测算" sheetId="3" state="visible" r:id="rId3"/>
    <sheet name="创造者投资回报" sheetId="4" state="visible" r:id="rId4"/>
    <sheet name="号段经济模型" sheetId="5" state="visible" r:id="rId5"/>
    <sheet name="游戏化对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2C2C2A"/>
      <sz val="16"/>
    </font>
    <font>
      <name val="Arial"/>
      <color rgb="00999790"/>
      <sz val="9"/>
    </font>
    <font>
      <name val="Arial"/>
      <b val="1"/>
      <color rgb="00FFFFFF"/>
      <sz val="10"/>
    </font>
    <font>
      <name val="Arial"/>
      <b val="1"/>
      <color rgb="002C2C2A"/>
      <sz val="11"/>
    </font>
    <font>
      <name val="Arial"/>
      <color rgb="006B6966"/>
      <sz val="9"/>
    </font>
    <font>
      <name val="Arial"/>
      <b val="1"/>
      <color rgb="002C2C2A"/>
      <sz val="10"/>
    </font>
    <font>
      <name val="Arial"/>
      <b val="1"/>
      <color rgb="000000FF"/>
      <sz val="10"/>
    </font>
    <font>
      <name val="Arial"/>
      <b val="1"/>
      <color rgb="00FFFFFF"/>
      <sz val="11"/>
    </font>
    <font>
      <name val="Arial"/>
      <i val="1"/>
      <color rgb="00999790"/>
      <sz val="9"/>
    </font>
    <font>
      <name val="Arial"/>
      <b val="1"/>
      <color rgb="00C4960F"/>
      <sz val="12"/>
    </font>
    <font>
      <name val="Arial"/>
      <color rgb="002C2C2A"/>
      <sz val="10"/>
    </font>
    <font>
      <name val="Arial"/>
      <b val="1"/>
      <color rgb="00D96B6B"/>
      <sz val="11"/>
    </font>
    <font>
      <name val="Arial"/>
      <b val="1"/>
      <color rgb="009B7BBF"/>
      <sz val="11"/>
    </font>
  </fonts>
  <fills count="18">
    <fill>
      <patternFill/>
    </fill>
    <fill>
      <patternFill patternType="gray125"/>
    </fill>
    <fill>
      <patternFill patternType="solid">
        <fgColor rgb="00F7F3ED"/>
      </patternFill>
    </fill>
    <fill>
      <patternFill patternType="solid">
        <fgColor rgb="002C2C2A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EFF6FC"/>
      </patternFill>
    </fill>
    <fill>
      <patternFill patternType="solid">
        <fgColor rgb="00EFF8F2"/>
      </patternFill>
    </fill>
    <fill>
      <patternFill patternType="solid">
        <fgColor rgb="00F0ECE4"/>
      </patternFill>
    </fill>
    <fill>
      <patternFill patternType="solid">
        <fgColor rgb="00E8B44C"/>
      </patternFill>
    </fill>
    <fill>
      <patternFill patternType="solid">
        <fgColor rgb="00D96B6B"/>
      </patternFill>
    </fill>
    <fill>
      <patternFill patternType="solid">
        <fgColor rgb="005A9FD4"/>
      </patternFill>
    </fill>
    <fill>
      <patternFill patternType="solid">
        <fgColor rgb="009B7BBF"/>
      </patternFill>
    </fill>
    <fill>
      <patternFill patternType="solid">
        <fgColor rgb="005BA875"/>
      </patternFill>
    </fill>
    <fill>
      <patternFill patternType="solid">
        <fgColor rgb="00F5F0FA"/>
      </patternFill>
    </fill>
    <fill>
      <patternFill patternType="solid">
        <fgColor rgb="00C4960F"/>
      </patternFill>
    </fill>
    <fill>
      <patternFill patternType="solid">
        <fgColor rgb="00F5F5F3"/>
      </patternFill>
    </fill>
  </fills>
  <borders count="2">
    <border>
      <left/>
      <right/>
      <top/>
      <bottom/>
      <diagonal/>
    </border>
    <border>
      <bottom style="thin">
        <color rgb="0099979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3" fontId="8" fillId="10" borderId="1" applyAlignment="1" pivotButton="0" quotePrefix="0" xfId="0">
      <alignment horizontal="center" vertical="center" wrapText="1"/>
    </xf>
    <xf numFmtId="3" fontId="8" fillId="1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3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3" fontId="7" fillId="5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3" fontId="8" fillId="11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left" vertical="center" wrapText="1"/>
    </xf>
    <xf numFmtId="3" fontId="8" fillId="13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left" vertical="center" wrapText="1"/>
    </xf>
    <xf numFmtId="3" fontId="7" fillId="15" borderId="1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3" fontId="7" fillId="17" borderId="1" applyAlignment="1" pivotButton="0" quotePrefix="0" xfId="0">
      <alignment horizontal="center" vertical="center" wrapText="1"/>
    </xf>
    <xf numFmtId="3" fontId="8" fillId="10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/>
    </xf>
    <xf numFmtId="3" fontId="12" fillId="6" borderId="1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left" vertical="center" wrapText="1"/>
    </xf>
    <xf numFmtId="3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3" fontId="4" fillId="6" borderId="0" applyAlignment="1" pivotButton="0" quotePrefix="0" xfId="0">
      <alignment horizontal="center" vertical="center" wrapText="1"/>
    </xf>
    <xf numFmtId="3" fontId="4" fillId="4" borderId="0" applyAlignment="1" pivotButton="0" quotePrefix="0" xfId="0">
      <alignment horizontal="center" vertical="center" wrapText="1"/>
    </xf>
    <xf numFmtId="3" fontId="4" fillId="8" borderId="0" applyAlignment="1" pivotButton="0" quotePrefix="0" xfId="0">
      <alignment horizontal="center" vertical="center" wrapText="1"/>
    </xf>
    <xf numFmtId="0" fontId="13" fillId="15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B44C"/>
    <outlinePr summaryBelow="1" summaryRight="1"/>
    <pageSetUpPr/>
  </sheetPr>
  <dimension ref="B2:K4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" customWidth="1" min="12" max="12"/>
    <col width="14" customWidth="1" min="13" max="13"/>
  </cols>
  <sheetData>
    <row r="1" ht="8" customHeight="1"/>
    <row r="2" ht="35" customHeight="1">
      <c r="B2" s="1" t="inlineStr">
        <is>
          <t>拓圈 · 南京第一年目标计划</t>
        </is>
      </c>
    </row>
    <row r="3" ht="18" customHeight="1">
      <c r="B3" s="2" t="inlineStr">
        <is>
          <t>TOPCIRCLE NANJING 2026  |  5月-12月  |  8个月冲刺</t>
        </is>
      </c>
    </row>
    <row r="4" ht="8" customHeight="1"/>
    <row r="6" ht="8" customHeight="1"/>
    <row r="7" ht="20" customHeight="1">
      <c r="B7" s="3" t="inlineStr">
        <is>
          <t>核心指标</t>
        </is>
      </c>
    </row>
    <row r="8" ht="50" customHeight="1">
      <c r="B8" s="4" t="inlineStr">
        <is>
          <t>20万</t>
        </is>
      </c>
      <c r="D8" s="4" t="inlineStr">
        <is>
          <t>1万</t>
        </is>
      </c>
      <c r="F8" s="5" t="inlineStr">
        <is>
          <t>500</t>
        </is>
      </c>
      <c r="H8" s="6" t="inlineStr">
        <is>
          <t>200</t>
        </is>
      </c>
      <c r="J8" s="7" t="inlineStr">
        <is>
          <t>50</t>
        </is>
      </c>
    </row>
    <row r="9" ht="18" customHeight="1">
      <c r="B9" s="8" t="inlineStr">
        <is>
          <t>Wanderer 漫游者</t>
        </is>
      </c>
      <c r="D9" s="8" t="inlineStr">
        <is>
          <t>Seeker 探索者</t>
        </is>
      </c>
      <c r="F9" s="8" t="inlineStr">
        <is>
          <t>Creator 创造者</t>
        </is>
      </c>
      <c r="H9" s="8" t="inlineStr">
        <is>
          <t>Worker 工作者</t>
        </is>
      </c>
      <c r="J9" s="8" t="inlineStr">
        <is>
          <t>Linker 链接者</t>
        </is>
      </c>
    </row>
    <row r="11" ht="8" customHeight="1"/>
    <row r="12" ht="20" customHeight="1">
      <c r="B12" s="3" t="inlineStr">
        <is>
          <t>按月目标分解（累计）</t>
        </is>
      </c>
    </row>
    <row r="13" ht="24" customHeight="1">
      <c r="B13" s="9" t="inlineStr">
        <is>
          <t>角色</t>
        </is>
      </c>
      <c r="C13" s="10" t="inlineStr">
        <is>
          <t>5月</t>
        </is>
      </c>
      <c r="D13" s="11" t="inlineStr">
        <is>
          <t>6月</t>
        </is>
      </c>
      <c r="E13" s="12" t="inlineStr">
        <is>
          <t>7月</t>
        </is>
      </c>
      <c r="F13" s="13" t="inlineStr">
        <is>
          <t>8月</t>
        </is>
      </c>
      <c r="G13" s="14" t="inlineStr">
        <is>
          <t>9月</t>
        </is>
      </c>
      <c r="H13" s="10" t="inlineStr">
        <is>
          <t>10月</t>
        </is>
      </c>
      <c r="I13" s="11" t="inlineStr">
        <is>
          <t>11月</t>
        </is>
      </c>
      <c r="J13" s="12" t="inlineStr">
        <is>
          <t>12月</t>
        </is>
      </c>
      <c r="K13" s="15" t="inlineStr">
        <is>
          <t>合计</t>
        </is>
      </c>
    </row>
    <row r="14" ht="22" customHeight="1">
      <c r="B14" s="16" t="inlineStr">
        <is>
          <t>Creator 创造者</t>
        </is>
      </c>
      <c r="C14" s="17" t="n">
        <v>100</v>
      </c>
      <c r="D14" s="17" t="n">
        <v>150</v>
      </c>
      <c r="E14" s="17" t="n">
        <v>200</v>
      </c>
      <c r="F14" s="17" t="n">
        <v>250</v>
      </c>
      <c r="G14" s="17" t="n">
        <v>300</v>
      </c>
      <c r="H14" s="17" t="n">
        <v>350</v>
      </c>
      <c r="I14" s="17" t="n">
        <v>425</v>
      </c>
      <c r="J14" s="17" t="n">
        <v>500</v>
      </c>
      <c r="K14" s="18" t="n">
        <v>500</v>
      </c>
    </row>
    <row r="15" ht="22" customHeight="1">
      <c r="B15" s="19" t="inlineStr">
        <is>
          <t>Seeker 探索者</t>
        </is>
      </c>
      <c r="C15" s="17" t="n">
        <v>2000</v>
      </c>
      <c r="D15" s="17" t="n">
        <v>3500</v>
      </c>
      <c r="E15" s="17" t="n">
        <v>5000</v>
      </c>
      <c r="F15" s="17" t="n">
        <v>6500</v>
      </c>
      <c r="G15" s="17" t="n">
        <v>7500</v>
      </c>
      <c r="H15" s="17" t="n">
        <v>8300</v>
      </c>
      <c r="I15" s="17" t="n">
        <v>9200</v>
      </c>
      <c r="J15" s="17" t="n">
        <v>10000</v>
      </c>
      <c r="K15" s="20" t="n">
        <v>10000</v>
      </c>
    </row>
    <row r="16" ht="22" customHeight="1">
      <c r="B16" s="21" t="inlineStr">
        <is>
          <t>Worker 工作者</t>
        </is>
      </c>
      <c r="C16" s="17" t="n">
        <v>40</v>
      </c>
      <c r="D16" s="17" t="n">
        <v>60</v>
      </c>
      <c r="E16" s="17" t="n">
        <v>80</v>
      </c>
      <c r="F16" s="17" t="n">
        <v>105</v>
      </c>
      <c r="G16" s="17" t="n">
        <v>130</v>
      </c>
      <c r="H16" s="17" t="n">
        <v>155</v>
      </c>
      <c r="I16" s="17" t="n">
        <v>175</v>
      </c>
      <c r="J16" s="17" t="n">
        <v>200</v>
      </c>
      <c r="K16" s="22" t="n">
        <v>200</v>
      </c>
    </row>
    <row r="17" ht="22" customHeight="1">
      <c r="B17" s="23" t="inlineStr">
        <is>
          <t>Linker 链接者</t>
        </is>
      </c>
      <c r="C17" s="17" t="n">
        <v>10</v>
      </c>
      <c r="D17" s="17" t="n">
        <v>15</v>
      </c>
      <c r="E17" s="17" t="n">
        <v>20</v>
      </c>
      <c r="F17" s="17" t="n">
        <v>25</v>
      </c>
      <c r="G17" s="17" t="n">
        <v>30</v>
      </c>
      <c r="H17" s="17" t="n">
        <v>35</v>
      </c>
      <c r="I17" s="17" t="n">
        <v>40</v>
      </c>
      <c r="J17" s="17" t="n">
        <v>50</v>
      </c>
      <c r="K17" s="24" t="n">
        <v>50</v>
      </c>
    </row>
    <row r="18" ht="22" customHeight="1">
      <c r="B18" s="25" t="inlineStr">
        <is>
          <t>Wanderer 漫游者</t>
        </is>
      </c>
      <c r="C18" s="17" t="n">
        <v>40000</v>
      </c>
      <c r="D18" s="17" t="n">
        <v>70000</v>
      </c>
      <c r="E18" s="17" t="n">
        <v>100000</v>
      </c>
      <c r="F18" s="17" t="n">
        <v>120000</v>
      </c>
      <c r="G18" s="17" t="n">
        <v>140000</v>
      </c>
      <c r="H18" s="17" t="n">
        <v>155000</v>
      </c>
      <c r="I18" s="17" t="n">
        <v>175000</v>
      </c>
      <c r="J18" s="17" t="n">
        <v>200000</v>
      </c>
      <c r="K18" s="26" t="n">
        <v>200000</v>
      </c>
    </row>
    <row r="19" ht="8" customHeight="1"/>
    <row r="20" ht="20" customHeight="1">
      <c r="B20" s="3" t="inlineStr">
        <is>
          <t>每月新增（净增）</t>
        </is>
      </c>
    </row>
    <row r="21" ht="24" customHeight="1">
      <c r="B21" s="9" t="inlineStr">
        <is>
          <t>角色</t>
        </is>
      </c>
      <c r="C21" s="10" t="inlineStr">
        <is>
          <t>5月</t>
        </is>
      </c>
      <c r="D21" s="11" t="inlineStr">
        <is>
          <t>6月</t>
        </is>
      </c>
      <c r="E21" s="12" t="inlineStr">
        <is>
          <t>7月</t>
        </is>
      </c>
      <c r="F21" s="13" t="inlineStr">
        <is>
          <t>8月</t>
        </is>
      </c>
      <c r="G21" s="14" t="inlineStr">
        <is>
          <t>9月</t>
        </is>
      </c>
      <c r="H21" s="10" t="inlineStr">
        <is>
          <t>10月</t>
        </is>
      </c>
      <c r="I21" s="11" t="inlineStr">
        <is>
          <t>11月</t>
        </is>
      </c>
      <c r="J21" s="12" t="inlineStr">
        <is>
          <t>12月</t>
        </is>
      </c>
      <c r="K21" s="15" t="inlineStr">
        <is>
          <t>合计</t>
        </is>
      </c>
    </row>
    <row r="22" ht="22" customHeight="1">
      <c r="B22" s="16" t="inlineStr">
        <is>
          <t>Creator 创造者</t>
        </is>
      </c>
      <c r="C22" s="17" t="inlineStr">
        <is>
          <t>+100</t>
        </is>
      </c>
      <c r="D22" s="17" t="inlineStr">
        <is>
          <t>+50</t>
        </is>
      </c>
      <c r="E22" s="17" t="inlineStr">
        <is>
          <t>+50</t>
        </is>
      </c>
      <c r="F22" s="17" t="inlineStr">
        <is>
          <t>+50</t>
        </is>
      </c>
      <c r="G22" s="17" t="inlineStr">
        <is>
          <t>+50</t>
        </is>
      </c>
      <c r="H22" s="17" t="inlineStr">
        <is>
          <t>+50</t>
        </is>
      </c>
      <c r="I22" s="17" t="inlineStr">
        <is>
          <t>+75</t>
        </is>
      </c>
      <c r="J22" s="17" t="inlineStr">
        <is>
          <t>+75</t>
        </is>
      </c>
      <c r="K22" s="18" t="n">
        <v>500</v>
      </c>
    </row>
    <row r="23" ht="22" customHeight="1">
      <c r="B23" s="19" t="inlineStr">
        <is>
          <t>Seeker 探索者</t>
        </is>
      </c>
      <c r="C23" s="17" t="inlineStr">
        <is>
          <t>+2000</t>
        </is>
      </c>
      <c r="D23" s="17" t="inlineStr">
        <is>
          <t>+1500</t>
        </is>
      </c>
      <c r="E23" s="17" t="inlineStr">
        <is>
          <t>+1500</t>
        </is>
      </c>
      <c r="F23" s="17" t="inlineStr">
        <is>
          <t>+1500</t>
        </is>
      </c>
      <c r="G23" s="17" t="inlineStr">
        <is>
          <t>+1000</t>
        </is>
      </c>
      <c r="H23" s="17" t="inlineStr">
        <is>
          <t>+800</t>
        </is>
      </c>
      <c r="I23" s="17" t="inlineStr">
        <is>
          <t>+900</t>
        </is>
      </c>
      <c r="J23" s="17" t="inlineStr">
        <is>
          <t>+800</t>
        </is>
      </c>
      <c r="K23" s="20" t="n">
        <v>10000</v>
      </c>
    </row>
    <row r="24" ht="22" customHeight="1">
      <c r="B24" s="21" t="inlineStr">
        <is>
          <t>Worker 工作者</t>
        </is>
      </c>
      <c r="C24" s="17" t="inlineStr">
        <is>
          <t>+40</t>
        </is>
      </c>
      <c r="D24" s="17" t="inlineStr">
        <is>
          <t>+20</t>
        </is>
      </c>
      <c r="E24" s="17" t="inlineStr">
        <is>
          <t>+20</t>
        </is>
      </c>
      <c r="F24" s="17" t="inlineStr">
        <is>
          <t>+25</t>
        </is>
      </c>
      <c r="G24" s="17" t="inlineStr">
        <is>
          <t>+25</t>
        </is>
      </c>
      <c r="H24" s="17" t="inlineStr">
        <is>
          <t>+25</t>
        </is>
      </c>
      <c r="I24" s="17" t="inlineStr">
        <is>
          <t>+20</t>
        </is>
      </c>
      <c r="J24" s="17" t="inlineStr">
        <is>
          <t>+25</t>
        </is>
      </c>
      <c r="K24" s="22" t="n">
        <v>200</v>
      </c>
    </row>
    <row r="25" ht="22" customHeight="1">
      <c r="B25" s="23" t="inlineStr">
        <is>
          <t>Linker 链接者</t>
        </is>
      </c>
      <c r="C25" s="17" t="inlineStr">
        <is>
          <t>+10</t>
        </is>
      </c>
      <c r="D25" s="17" t="inlineStr">
        <is>
          <t>+5</t>
        </is>
      </c>
      <c r="E25" s="17" t="inlineStr">
        <is>
          <t>+5</t>
        </is>
      </c>
      <c r="F25" s="17" t="inlineStr">
        <is>
          <t>+5</t>
        </is>
      </c>
      <c r="G25" s="17" t="inlineStr">
        <is>
          <t>+5</t>
        </is>
      </c>
      <c r="H25" s="17" t="inlineStr">
        <is>
          <t>+5</t>
        </is>
      </c>
      <c r="I25" s="17" t="inlineStr">
        <is>
          <t>+5</t>
        </is>
      </c>
      <c r="J25" s="17" t="inlineStr">
        <is>
          <t>+10</t>
        </is>
      </c>
      <c r="K25" s="24" t="n">
        <v>50</v>
      </c>
    </row>
    <row r="26" ht="22" customHeight="1">
      <c r="B26" s="25" t="inlineStr">
        <is>
          <t>Wanderer 漫游者</t>
        </is>
      </c>
      <c r="C26" s="17" t="inlineStr">
        <is>
          <t>+40000</t>
        </is>
      </c>
      <c r="D26" s="17" t="inlineStr">
        <is>
          <t>+30000</t>
        </is>
      </c>
      <c r="E26" s="17" t="inlineStr">
        <is>
          <t>+30000</t>
        </is>
      </c>
      <c r="F26" s="17" t="inlineStr">
        <is>
          <t>+20000</t>
        </is>
      </c>
      <c r="G26" s="17" t="inlineStr">
        <is>
          <t>+20000</t>
        </is>
      </c>
      <c r="H26" s="17" t="inlineStr">
        <is>
          <t>+15000</t>
        </is>
      </c>
      <c r="I26" s="17" t="inlineStr">
        <is>
          <t>+20000</t>
        </is>
      </c>
      <c r="J26" s="17" t="inlineStr">
        <is>
          <t>+25000</t>
        </is>
      </c>
      <c r="K26" s="26" t="n">
        <v>200000</v>
      </c>
    </row>
    <row r="27" ht="8" customHeight="1"/>
    <row r="28" ht="24" customHeight="1">
      <c r="B28" s="27" t="inlineStr">
        <is>
          <t>每月种子期收入</t>
        </is>
      </c>
    </row>
    <row r="29" ht="24" customHeight="1">
      <c r="B29" s="9" t="inlineStr">
        <is>
          <t>角色</t>
        </is>
      </c>
      <c r="C29" s="10" t="inlineStr">
        <is>
          <t>5月</t>
        </is>
      </c>
      <c r="D29" s="11" t="inlineStr">
        <is>
          <t>6月</t>
        </is>
      </c>
      <c r="E29" s="12" t="inlineStr">
        <is>
          <t>7月</t>
        </is>
      </c>
      <c r="F29" s="13" t="inlineStr">
        <is>
          <t>8月</t>
        </is>
      </c>
      <c r="G29" s="14" t="inlineStr">
        <is>
          <t>9月</t>
        </is>
      </c>
      <c r="H29" s="10" t="inlineStr">
        <is>
          <t>10月</t>
        </is>
      </c>
      <c r="I29" s="11" t="inlineStr">
        <is>
          <t>11月</t>
        </is>
      </c>
      <c r="J29" s="12" t="inlineStr">
        <is>
          <t>12月</t>
        </is>
      </c>
      <c r="K29" s="15" t="inlineStr">
        <is>
          <t>合计</t>
        </is>
      </c>
    </row>
    <row r="30" ht="22" customHeight="1">
      <c r="B30" s="16" t="inlineStr">
        <is>
          <t>Creator 保证金</t>
        </is>
      </c>
      <c r="C30" s="28" t="n">
        <v>200000</v>
      </c>
      <c r="D30" s="28" t="n">
        <v>100000</v>
      </c>
      <c r="E30" s="28" t="n">
        <v>100000</v>
      </c>
      <c r="F30" s="28" t="n">
        <v>100000</v>
      </c>
      <c r="G30" s="28" t="n">
        <v>100000</v>
      </c>
      <c r="H30" s="28" t="n">
        <v>100000</v>
      </c>
      <c r="I30" s="28" t="n">
        <v>150000</v>
      </c>
      <c r="J30" s="28" t="n">
        <v>150000</v>
      </c>
      <c r="K30" s="29">
        <f>SUM(C30:J30)</f>
        <v/>
      </c>
    </row>
    <row r="31" ht="22" customHeight="1">
      <c r="B31" s="19" t="inlineStr">
        <is>
          <t>Seeker 入圈费</t>
        </is>
      </c>
      <c r="C31" s="28" t="n">
        <v>964000</v>
      </c>
      <c r="D31" s="28" t="n">
        <v>898500</v>
      </c>
      <c r="E31" s="28" t="n">
        <v>898500</v>
      </c>
      <c r="F31" s="28" t="n">
        <v>898500</v>
      </c>
      <c r="G31" s="28" t="n">
        <v>599000</v>
      </c>
      <c r="H31" s="28" t="n">
        <v>479200</v>
      </c>
      <c r="I31" s="28" t="n">
        <v>539100</v>
      </c>
      <c r="J31" s="28" t="n">
        <v>479200</v>
      </c>
      <c r="K31" s="30">
        <f>SUM(C31:J31)</f>
        <v/>
      </c>
    </row>
    <row r="32" ht="26" customHeight="1">
      <c r="B32" s="31" t="inlineStr">
        <is>
          <t>月度合计</t>
        </is>
      </c>
      <c r="C32" s="32">
        <f>C30+C31</f>
        <v/>
      </c>
      <c r="D32" s="32">
        <f>D30+D31</f>
        <v/>
      </c>
      <c r="E32" s="32">
        <f>E30+E31</f>
        <v/>
      </c>
      <c r="F32" s="32">
        <f>F30+F31</f>
        <v/>
      </c>
      <c r="G32" s="32">
        <f>G30+G31</f>
        <v/>
      </c>
      <c r="H32" s="32">
        <f>H30+H31</f>
        <v/>
      </c>
      <c r="I32" s="32">
        <f>I30+I31</f>
        <v/>
      </c>
      <c r="J32" s="32">
        <f>J30+J31</f>
        <v/>
      </c>
      <c r="K32" s="33">
        <f>SUM(C32:J32)</f>
        <v/>
      </c>
    </row>
    <row r="34" ht="18" customHeight="1">
      <c r="B34" s="34" t="inlineStr">
        <is>
          <t>种子期收入合计</t>
        </is>
      </c>
      <c r="K34" s="35">
        <f>K32</f>
        <v/>
      </c>
    </row>
    <row r="35" ht="16" customHeight="1">
      <c r="B35" s="34" t="inlineStr">
        <is>
          <t>注：Seeker前1000人种子价¥365买断，之后正式价¥599/年；Creator保证金¥2000可退</t>
        </is>
      </c>
    </row>
    <row r="37" ht="8" customHeight="1"/>
    <row r="38" ht="20" customHeight="1">
      <c r="B38" s="3" t="inlineStr">
        <is>
          <t>价格体系</t>
        </is>
      </c>
    </row>
    <row r="39" ht="22" customHeight="1">
      <c r="B39" s="9" t="inlineStr">
        <is>
          <t>角色</t>
        </is>
      </c>
      <c r="C39" s="9" t="inlineStr">
        <is>
          <t>费用类型</t>
        </is>
      </c>
      <c r="D39" s="9" t="inlineStr">
        <is>
          <t>种子期</t>
        </is>
      </c>
      <c r="E39" s="9" t="inlineStr">
        <is>
          <t>正式期</t>
        </is>
      </c>
      <c r="F39" s="9" t="inlineStr">
        <is>
          <t>说明</t>
        </is>
      </c>
    </row>
    <row r="40" ht="20" customHeight="1">
      <c r="B40" s="36" t="inlineStr">
        <is>
          <t>Wanderer 漫游者</t>
        </is>
      </c>
      <c r="C40" s="8" t="inlineStr">
        <is>
          <t>—</t>
        </is>
      </c>
      <c r="D40" s="37" t="inlineStr">
        <is>
          <t>免费</t>
        </is>
      </c>
      <c r="E40" s="37" t="inlineStr">
        <is>
          <t>免费</t>
        </is>
      </c>
      <c r="F40" s="38" t="inlineStr">
        <is>
          <t>注册即有编号身份卡</t>
        </is>
      </c>
    </row>
    <row r="41" ht="20" customHeight="1">
      <c r="B41" s="36" t="inlineStr">
        <is>
          <t>Seeker 探索者</t>
        </is>
      </c>
      <c r="C41" s="8" t="inlineStr">
        <is>
          <t>入圈费</t>
        </is>
      </c>
      <c r="D41" s="37" t="inlineStr">
        <is>
          <t>¥365（买断）</t>
        </is>
      </c>
      <c r="E41" s="37" t="inlineStr">
        <is>
          <t>¥599/年</t>
        </is>
      </c>
      <c r="F41" s="38" t="inlineStr">
        <is>
          <t>种子期永不再交年费</t>
        </is>
      </c>
    </row>
    <row r="42" ht="20" customHeight="1">
      <c r="B42" s="36" t="inlineStr">
        <is>
          <t>Creator 创造者</t>
        </is>
      </c>
      <c r="C42" s="8" t="inlineStr">
        <is>
          <t>保证金</t>
        </is>
      </c>
      <c r="D42" s="37" t="inlineStr">
        <is>
          <t>¥2,000</t>
        </is>
      </c>
      <c r="E42" s="37" t="inlineStr">
        <is>
          <t>¥5,000</t>
        </is>
      </c>
      <c r="F42" s="38" t="inlineStr">
        <is>
          <t>可退</t>
        </is>
      </c>
    </row>
    <row r="43" ht="20" customHeight="1">
      <c r="B43" s="36" t="inlineStr">
        <is>
          <t>Creator 创造者</t>
        </is>
      </c>
      <c r="C43" s="8" t="inlineStr">
        <is>
          <t>年费</t>
        </is>
      </c>
      <c r="D43" s="37" t="inlineStr">
        <is>
          <t>¥0</t>
        </is>
      </c>
      <c r="E43" s="37" t="inlineStr">
        <is>
          <t>¥2,999</t>
        </is>
      </c>
      <c r="F43" s="38" t="inlineStr">
        <is>
          <t>种子期免年费</t>
        </is>
      </c>
    </row>
    <row r="44" ht="20" customHeight="1">
      <c r="B44" s="36" t="inlineStr">
        <is>
          <t>Worker 工作者</t>
        </is>
      </c>
      <c r="C44" s="8" t="inlineStr">
        <is>
          <t>入圈费</t>
        </is>
      </c>
      <c r="D44" s="37" t="inlineStr">
        <is>
          <t>¥0</t>
        </is>
      </c>
      <c r="E44" s="37" t="inlineStr">
        <is>
          <t>¥2,999</t>
        </is>
      </c>
      <c r="F44" s="38" t="inlineStr">
        <is>
          <t>种子期0元进入</t>
        </is>
      </c>
    </row>
    <row r="45" ht="20" customHeight="1">
      <c r="B45" s="36" t="inlineStr">
        <is>
          <t>Worker 工作者</t>
        </is>
      </c>
      <c r="C45" s="8" t="inlineStr">
        <is>
          <t>质量保证金</t>
        </is>
      </c>
      <c r="D45" s="37" t="inlineStr">
        <is>
          <t>¥0</t>
        </is>
      </c>
      <c r="E45" s="37" t="inlineStr">
        <is>
          <t>¥999</t>
        </is>
      </c>
      <c r="F45" s="38" t="inlineStr">
        <is>
          <t>从收入中逐步扣除</t>
        </is>
      </c>
    </row>
    <row r="46" ht="20" customHeight="1">
      <c r="B46" s="36" t="inlineStr">
        <is>
          <t>Linker 链接者</t>
        </is>
      </c>
      <c r="C46" s="8" t="inlineStr">
        <is>
          <t>保证金</t>
        </is>
      </c>
      <c r="D46" s="37" t="inlineStr">
        <is>
          <t>¥0</t>
        </is>
      </c>
      <c r="E46" s="37" t="inlineStr">
        <is>
          <t>¥1,200</t>
        </is>
      </c>
      <c r="F46" s="38" t="inlineStr">
        <is>
          <t>从分润中逐步扣除</t>
        </is>
      </c>
    </row>
    <row r="48" ht="8" customHeight="1"/>
    <row r="49" ht="20" customHeight="1">
      <c r="B49" s="34" t="inlineStr">
        <is>
          <t>转化漏斗：20万W → 5%转化 → 1万S → 5%毕业 → 500C  |  C:S=1:20  |  C:W=1:0.4  |  C:L=1:0.1</t>
        </is>
      </c>
    </row>
  </sheetData>
  <mergeCells count="18">
    <mergeCell ref="D8:E8"/>
    <mergeCell ref="H8:I8"/>
    <mergeCell ref="B49:K49"/>
    <mergeCell ref="B20:K20"/>
    <mergeCell ref="B35:K35"/>
    <mergeCell ref="J9:K9"/>
    <mergeCell ref="J8:K8"/>
    <mergeCell ref="B7:K7"/>
    <mergeCell ref="B12:K12"/>
    <mergeCell ref="B38:K38"/>
    <mergeCell ref="B2:K2"/>
    <mergeCell ref="B9:C9"/>
    <mergeCell ref="D9:E9"/>
    <mergeCell ref="B8:C8"/>
    <mergeCell ref="B28:K28"/>
    <mergeCell ref="H9:I9"/>
    <mergeCell ref="F9:G9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9FD4"/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8" customHeight="1"/>
    <row r="2" ht="35" customHeight="1">
      <c r="B2" s="1" t="inlineStr">
        <is>
          <t>星球规划 · 王国模型</t>
        </is>
      </c>
    </row>
    <row r="3" ht="18" customHeight="1">
      <c r="B3" s="2" t="inlineStr">
        <is>
          <t>PLANET KINGDOM MODEL  |  星球=王国（50-1000人）  |  内部自由结盟</t>
        </is>
      </c>
    </row>
    <row r="4" ht="8" customHeight="1"/>
    <row r="6" ht="20" customHeight="1">
      <c r="B6" s="3" t="inlineStr">
        <is>
          <t>模型说明</t>
        </is>
      </c>
    </row>
    <row r="7" ht="20" customHeight="1">
      <c r="B7" s="39" t="inlineStr">
        <is>
          <t>城市 = 大地图（金陵大陆），星球 = 王国，内部可自由结成联盟</t>
        </is>
      </c>
    </row>
    <row r="8" ht="20" customHeight="1">
      <c r="B8" s="39" t="inlineStr">
        <is>
          <t>星球常住人口 = Creator，Seeker在星球外大盘子里漂着</t>
        </is>
      </c>
    </row>
    <row r="9" ht="20" customHeight="1">
      <c r="B9" s="39" t="inlineStr">
        <is>
          <t>星球内联盟可招募Seeker参与活动（临时加入）</t>
        </is>
      </c>
    </row>
    <row r="10" ht="20" customHeight="1">
      <c r="B10" s="39" t="inlineStr">
        <is>
          <t>Linker可跨星球链接，Worker可跨星球服务</t>
        </is>
      </c>
    </row>
    <row r="11" ht="20" customHeight="1">
      <c r="B11" s="39" t="inlineStr">
        <is>
          <t>后期有星球大战（对应无尽冬日国战）</t>
        </is>
      </c>
    </row>
    <row r="13" ht="8" customHeight="1"/>
    <row r="14" ht="20" customHeight="1">
      <c r="B14" s="3" t="inlineStr">
        <is>
          <t>星球裂变节奏</t>
        </is>
      </c>
    </row>
    <row r="15" ht="24" customHeight="1">
      <c r="B15" s="9" t="inlineStr">
        <is>
          <t>阶段</t>
        </is>
      </c>
      <c r="C15" s="9" t="inlineStr">
        <is>
          <t>时间</t>
        </is>
      </c>
      <c r="D15" s="9" t="inlineStr">
        <is>
          <t>星球数</t>
        </is>
      </c>
      <c r="E15" s="9" t="inlineStr">
        <is>
          <t>累计Creator</t>
        </is>
      </c>
      <c r="F15" s="9" t="inlineStr">
        <is>
          <t>累计Seeker</t>
        </is>
      </c>
      <c r="G15" s="9" t="inlineStr">
        <is>
          <t>说明</t>
        </is>
      </c>
    </row>
    <row r="16" ht="22" customHeight="1">
      <c r="B16" s="16" t="inlineStr">
        <is>
          <t>第1王国</t>
        </is>
      </c>
      <c r="C16" s="36" t="inlineStr">
        <is>
          <t>5月</t>
        </is>
      </c>
      <c r="D16" s="36" t="n">
        <v>1</v>
      </c>
      <c r="E16" s="37" t="n">
        <v>100</v>
      </c>
      <c r="F16" s="37" t="n">
        <v>2000</v>
      </c>
      <c r="G16" s="36" t="inlineStr">
        <is>
          <t>原始星球先跑通模型</t>
        </is>
      </c>
    </row>
    <row r="17" ht="22" customHeight="1">
      <c r="B17" s="19" t="inlineStr">
        <is>
          <t>第2-3王国</t>
        </is>
      </c>
      <c r="C17" s="36" t="inlineStr">
        <is>
          <t>6-7月</t>
        </is>
      </c>
      <c r="D17" s="36" t="n">
        <v>3</v>
      </c>
      <c r="E17" s="37" t="n">
        <v>200</v>
      </c>
      <c r="F17" s="37" t="n">
        <v>5000</v>
      </c>
      <c r="G17" s="36" t="inlineStr">
        <is>
          <t>裂变2个新星球</t>
        </is>
      </c>
    </row>
    <row r="18" ht="22" customHeight="1">
      <c r="B18" s="21" t="inlineStr">
        <is>
          <t>第4-5王国</t>
        </is>
      </c>
      <c r="C18" s="36" t="inlineStr">
        <is>
          <t>8-9月</t>
        </is>
      </c>
      <c r="D18" s="36" t="n">
        <v>5</v>
      </c>
      <c r="E18" s="37" t="n">
        <v>300</v>
      </c>
      <c r="F18" s="37" t="n">
        <v>7500</v>
      </c>
      <c r="G18" s="36" t="inlineStr">
        <is>
          <t>持续扩展</t>
        </is>
      </c>
    </row>
    <row r="19" ht="22" customHeight="1">
      <c r="B19" s="25" t="inlineStr">
        <is>
          <t>第6-7王国</t>
        </is>
      </c>
      <c r="C19" s="36" t="inlineStr">
        <is>
          <t>10-11月</t>
        </is>
      </c>
      <c r="D19" s="36" t="n">
        <v>7</v>
      </c>
      <c r="E19" s="37" t="n">
        <v>425</v>
      </c>
      <c r="F19" s="37" t="n">
        <v>9200</v>
      </c>
      <c r="G19" s="36" t="inlineStr">
        <is>
          <t>稳定增长</t>
        </is>
      </c>
    </row>
    <row r="20" ht="22" customHeight="1">
      <c r="B20" s="23" t="inlineStr">
        <is>
          <t>第8+王国</t>
        </is>
      </c>
      <c r="C20" s="36" t="inlineStr">
        <is>
          <t>12月</t>
        </is>
      </c>
      <c r="D20" s="36" t="inlineStr">
        <is>
          <t>8+</t>
        </is>
      </c>
      <c r="E20" s="37" t="n">
        <v>500</v>
      </c>
      <c r="F20" s="37" t="n">
        <v>10000</v>
      </c>
      <c r="G20" s="36" t="inlineStr">
        <is>
          <t>全年目标达成</t>
        </is>
      </c>
    </row>
    <row r="22" ht="8" customHeight="1"/>
    <row r="23" ht="20" customHeight="1">
      <c r="B23" s="40" t="inlineStr">
        <is>
          <t>标准王国配比</t>
        </is>
      </c>
    </row>
    <row r="24" ht="22" customHeight="1">
      <c r="B24" s="9" t="inlineStr">
        <is>
          <t>角色</t>
        </is>
      </c>
      <c r="C24" s="9" t="inlineStr">
        <is>
          <t>数量范围</t>
        </is>
      </c>
      <c r="D24" s="9" t="inlineStr">
        <is>
          <t>说明</t>
        </is>
      </c>
    </row>
    <row r="25" ht="22" customHeight="1">
      <c r="B25" s="16" t="inlineStr">
        <is>
          <t>Creator 创造者</t>
        </is>
      </c>
      <c r="C25" s="37" t="inlineStr">
        <is>
          <t>50-150人</t>
        </is>
      </c>
      <c r="D25" s="38" t="inlineStr">
        <is>
          <t>品类原则上不重复，咖啡等高频品类可多个</t>
        </is>
      </c>
    </row>
    <row r="26" ht="22" customHeight="1">
      <c r="B26" s="19" t="inlineStr">
        <is>
          <t>Seeker 探索者</t>
        </is>
      </c>
      <c r="C26" s="37" t="inlineStr">
        <is>
          <t>1500-3000人</t>
        </is>
      </c>
      <c r="D26" s="38" t="inlineStr">
        <is>
          <t>C:S=1:20，在星球外大盘子，可被联盟招募</t>
        </is>
      </c>
    </row>
    <row r="27" ht="22" customHeight="1">
      <c r="B27" s="21" t="inlineStr">
        <is>
          <t>Worker 工作者</t>
        </is>
      </c>
      <c r="C27" s="37" t="inlineStr">
        <is>
          <t>10-20人</t>
        </is>
      </c>
      <c r="D27" s="38" t="inlineStr">
        <is>
          <t>工作室制，可跨星球服务</t>
        </is>
      </c>
    </row>
    <row r="28" ht="22" customHeight="1">
      <c r="B28" s="23" t="inlineStr">
        <is>
          <t>Linker 链接者</t>
        </is>
      </c>
      <c r="C28" s="37" t="inlineStr">
        <is>
          <t>2-5人</t>
        </is>
      </c>
      <c r="D28" s="38" t="inlineStr">
        <is>
          <t>拉新+撮合，可跨星球链接</t>
        </is>
      </c>
    </row>
    <row r="29" ht="22" customHeight="1">
      <c r="B29" s="25" t="inlineStr">
        <is>
          <t>Wanderer 漫游者</t>
        </is>
      </c>
      <c r="C29" s="37" t="inlineStr">
        <is>
          <t>不限</t>
        </is>
      </c>
      <c r="D29" s="38" t="inlineStr">
        <is>
          <t>全平台流动围观层</t>
        </is>
      </c>
    </row>
  </sheetData>
  <mergeCells count="4">
    <mergeCell ref="B6:H6"/>
    <mergeCell ref="B14:H14"/>
    <mergeCell ref="B2:H2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6B6B"/>
    <outlinePr summaryBelow="1" summaryRight="1"/>
    <pageSetUpPr/>
  </sheetPr>
  <dimension ref="B2:H5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8" customHeight="1"/>
    <row r="2" ht="35" customHeight="1">
      <c r="B2" s="1" t="inlineStr">
        <is>
          <t>第一年营收测算</t>
        </is>
      </c>
    </row>
    <row r="3" ht="18" customHeight="1">
      <c r="B3" s="2" t="inlineStr">
        <is>
          <t>FIRST YEAR REVENUE FORECAST  |  南京 2026</t>
        </is>
      </c>
    </row>
    <row r="4" ht="8" customHeight="1"/>
    <row r="6" ht="20" customHeight="1">
      <c r="B6" s="3" t="inlineStr">
        <is>
          <t>会费/保证金收入</t>
        </is>
      </c>
    </row>
    <row r="7" ht="22" customHeight="1">
      <c r="B7" s="9" t="inlineStr">
        <is>
          <t>收入来源</t>
        </is>
      </c>
      <c r="C7" s="9" t="inlineStr">
        <is>
          <t>单价</t>
        </is>
      </c>
      <c r="D7" s="9" t="inlineStr">
        <is>
          <t>人数</t>
        </is>
      </c>
      <c r="E7" s="9" t="inlineStr">
        <is>
          <t>金额</t>
        </is>
      </c>
    </row>
    <row r="8" ht="20" customHeight="1">
      <c r="B8" s="41" t="inlineStr">
        <is>
          <t>Seeker 种子期（买断）</t>
        </is>
      </c>
      <c r="C8" s="42" t="n">
        <v>365</v>
      </c>
      <c r="D8" s="42" t="n">
        <v>1000</v>
      </c>
      <c r="E8" s="28" t="n">
        <v>365000</v>
      </c>
    </row>
    <row r="9" ht="20" customHeight="1">
      <c r="B9" s="41" t="inlineStr">
        <is>
          <t>Seeker 正式期（年费）</t>
        </is>
      </c>
      <c r="C9" s="42" t="n">
        <v>599</v>
      </c>
      <c r="D9" s="42" t="n">
        <v>9000</v>
      </c>
      <c r="E9" s="28" t="n">
        <v>5391000</v>
      </c>
    </row>
    <row r="10" ht="20" customHeight="1">
      <c r="B10" s="41" t="inlineStr">
        <is>
          <t>Creator 种子期保证金</t>
        </is>
      </c>
      <c r="C10" s="42" t="n">
        <v>2000</v>
      </c>
      <c r="D10" s="42" t="n">
        <v>100</v>
      </c>
      <c r="E10" s="28" t="n">
        <v>200000</v>
      </c>
    </row>
    <row r="11" ht="20" customHeight="1">
      <c r="B11" s="41" t="inlineStr">
        <is>
          <t>Creator 正式期年费</t>
        </is>
      </c>
      <c r="C11" s="42" t="n">
        <v>2999</v>
      </c>
      <c r="D11" s="42" t="n">
        <v>400</v>
      </c>
      <c r="E11" s="28" t="n">
        <v>1199600</v>
      </c>
    </row>
    <row r="12" ht="20" customHeight="1">
      <c r="B12" s="41" t="inlineStr">
        <is>
          <t>Creator 正式期保证金</t>
        </is>
      </c>
      <c r="C12" s="42" t="n">
        <v>5000</v>
      </c>
      <c r="D12" s="42" t="n">
        <v>400</v>
      </c>
      <c r="E12" s="28" t="n">
        <v>2000000</v>
      </c>
    </row>
    <row r="13" ht="20" customHeight="1">
      <c r="B13" s="41" t="inlineStr">
        <is>
          <t>Worker 正式期年费</t>
        </is>
      </c>
      <c r="C13" s="42" t="n">
        <v>2999</v>
      </c>
      <c r="D13" s="42" t="n">
        <v>200</v>
      </c>
      <c r="E13" s="28" t="n">
        <v>599800</v>
      </c>
    </row>
    <row r="14" ht="20" customHeight="1">
      <c r="B14" s="41" t="inlineStr">
        <is>
          <t>Linker 保证金</t>
        </is>
      </c>
      <c r="C14" s="42" t="n">
        <v>1200</v>
      </c>
      <c r="D14" s="42" t="n">
        <v>50</v>
      </c>
      <c r="E14" s="28" t="n">
        <v>60000</v>
      </c>
    </row>
    <row r="15" ht="24" customHeight="1">
      <c r="B15" s="43" t="inlineStr">
        <is>
          <t>会费收入合计（不含可退保证金）</t>
        </is>
      </c>
      <c r="E15" s="32">
        <f>SUM(E8:E14)</f>
        <v/>
      </c>
    </row>
    <row r="17" ht="8" customHeight="1"/>
    <row r="18" ht="20" customHeight="1">
      <c r="B18" s="3" t="inlineStr">
        <is>
          <t>交易抽成收入（按创造者类型 x 60%活跃度）</t>
        </is>
      </c>
    </row>
    <row r="19" ht="22" customHeight="1">
      <c r="B19" s="9" t="inlineStr">
        <is>
          <t>创造者类型</t>
        </is>
      </c>
      <c r="C19" s="9" t="inlineStr">
        <is>
          <t>人数</t>
        </is>
      </c>
      <c r="D19" s="9" t="inlineStr">
        <is>
          <t>月均交易额</t>
        </is>
      </c>
      <c r="E19" s="9" t="inlineStr">
        <is>
          <t>年抽成（8% x 60%）</t>
        </is>
      </c>
    </row>
    <row r="20" ht="20" customHeight="1">
      <c r="B20" s="41" t="inlineStr">
        <is>
          <t>产品型</t>
        </is>
      </c>
      <c r="C20" s="37" t="n">
        <v>150</v>
      </c>
      <c r="D20" s="42" t="n">
        <v>8000</v>
      </c>
      <c r="E20" s="28">
        <f>C20*D20*12*0.6*0.08</f>
        <v/>
      </c>
    </row>
    <row r="21" ht="20" customHeight="1">
      <c r="B21" s="41" t="inlineStr">
        <is>
          <t>门店型</t>
        </is>
      </c>
      <c r="C21" s="37" t="n">
        <v>100</v>
      </c>
      <c r="D21" s="42" t="n">
        <v>5000</v>
      </c>
      <c r="E21" s="28">
        <f>C21*D21*12*0.6*0.08</f>
        <v/>
      </c>
    </row>
    <row r="22" ht="20" customHeight="1">
      <c r="B22" s="41" t="inlineStr">
        <is>
          <t>内容型</t>
        </is>
      </c>
      <c r="C22" s="37" t="n">
        <v>80</v>
      </c>
      <c r="D22" s="42" t="n">
        <v>3000</v>
      </c>
      <c r="E22" s="28">
        <f>C22*D22*12*0.6*0.08</f>
        <v/>
      </c>
    </row>
    <row r="23" ht="20" customHeight="1">
      <c r="B23" s="41" t="inlineStr">
        <is>
          <t>服务型</t>
        </is>
      </c>
      <c r="C23" s="37" t="n">
        <v>70</v>
      </c>
      <c r="D23" s="42" t="n">
        <v>6000</v>
      </c>
      <c r="E23" s="28">
        <f>C23*D23*12*0.6*0.08</f>
        <v/>
      </c>
    </row>
    <row r="24" ht="20" customHeight="1">
      <c r="B24" s="41" t="inlineStr">
        <is>
          <t>活动型</t>
        </is>
      </c>
      <c r="C24" s="37" t="n">
        <v>50</v>
      </c>
      <c r="D24" s="42" t="n">
        <v>15000</v>
      </c>
      <c r="E24" s="28">
        <f>C24*D24*12*0.6*0.08</f>
        <v/>
      </c>
    </row>
    <row r="25" ht="20" customHeight="1">
      <c r="B25" s="41" t="inlineStr">
        <is>
          <t>其他</t>
        </is>
      </c>
      <c r="C25" s="37" t="n">
        <v>50</v>
      </c>
      <c r="D25" s="42" t="n">
        <v>4000</v>
      </c>
      <c r="E25" s="28">
        <f>C25*D25*12*0.6*0.08</f>
        <v/>
      </c>
    </row>
    <row r="26" ht="24" customHeight="1">
      <c r="B26" s="44" t="inlineStr">
        <is>
          <t>交易抽成合计</t>
        </is>
      </c>
      <c r="E26" s="45">
        <f>SUM(E20:E25)</f>
        <v/>
      </c>
    </row>
    <row r="28" ht="8" customHeight="1"/>
    <row r="29" ht="20" customHeight="1">
      <c r="B29" s="3" t="inlineStr">
        <is>
          <t>活动收入</t>
        </is>
      </c>
    </row>
    <row r="30" ht="22" customHeight="1">
      <c r="B30" s="9" t="inlineStr">
        <is>
          <t>项目</t>
        </is>
      </c>
      <c r="C30" s="9" t="inlineStr">
        <is>
          <t>单价</t>
        </is>
      </c>
      <c r="D30" s="9" t="inlineStr">
        <is>
          <t>场次</t>
        </is>
      </c>
      <c r="E30" s="9" t="inlineStr">
        <is>
          <t>人次</t>
        </is>
      </c>
      <c r="F30" s="9" t="inlineStr">
        <is>
          <t>金额</t>
        </is>
      </c>
    </row>
    <row r="31" ht="20" customHeight="1">
      <c r="B31" s="41" t="inlineStr">
        <is>
          <t>线下主题活动</t>
        </is>
      </c>
      <c r="C31" s="37" t="n">
        <v>199</v>
      </c>
      <c r="D31" s="37" t="n">
        <v>24</v>
      </c>
      <c r="E31" s="37" t="n">
        <v>4800</v>
      </c>
      <c r="F31" s="28">
        <f>C31*D31*E31*0.6</f>
        <v/>
      </c>
    </row>
    <row r="32" ht="20" customHeight="1">
      <c r="B32" s="41" t="inlineStr">
        <is>
          <t>品牌联名活动</t>
        </is>
      </c>
      <c r="C32" s="37" t="n">
        <v>299</v>
      </c>
      <c r="D32" s="37" t="n">
        <v>6</v>
      </c>
      <c r="E32" s="37" t="n">
        <v>600</v>
      </c>
      <c r="F32" s="28">
        <f>C32*D32*E32*0.6</f>
        <v/>
      </c>
    </row>
    <row r="33" ht="20" customHeight="1">
      <c r="B33" s="41" t="inlineStr">
        <is>
          <t>定制工作坊</t>
        </is>
      </c>
      <c r="C33" s="37" t="n">
        <v>499</v>
      </c>
      <c r="D33" s="37" t="n">
        <v>12</v>
      </c>
      <c r="E33" s="37" t="n">
        <v>360</v>
      </c>
      <c r="F33" s="28">
        <f>C33*D33*E33*0.6</f>
        <v/>
      </c>
    </row>
    <row r="34" ht="24" customHeight="1">
      <c r="B34" s="46" t="inlineStr">
        <is>
          <t>活动收入合计</t>
        </is>
      </c>
      <c r="F34" s="47">
        <f>SUM(F31:F33)</f>
        <v/>
      </c>
    </row>
    <row r="36" ht="8" customHeight="1"/>
    <row r="37" ht="20" customHeight="1">
      <c r="B37" s="27" t="inlineStr">
        <is>
          <t>第一年总营收汇总</t>
        </is>
      </c>
    </row>
    <row r="38" ht="22" customHeight="1">
      <c r="B38" s="48" t="inlineStr">
        <is>
          <t>会费收入</t>
        </is>
      </c>
      <c r="E38" s="49">
        <f>E15</f>
        <v/>
      </c>
    </row>
    <row r="39" ht="22" customHeight="1">
      <c r="B39" s="50" t="inlineStr">
        <is>
          <t>交易抽成</t>
        </is>
      </c>
      <c r="E39" s="51">
        <f>E26</f>
        <v/>
      </c>
    </row>
    <row r="40" ht="22" customHeight="1">
      <c r="B40" s="52" t="inlineStr">
        <is>
          <t>活动收入</t>
        </is>
      </c>
      <c r="E40" s="53">
        <f>F34</f>
        <v/>
      </c>
    </row>
    <row r="41" ht="22" customHeight="1">
      <c r="B41" s="54" t="inlineStr">
        <is>
          <t>其他收入（广告/合作）</t>
        </is>
      </c>
      <c r="E41" s="55" t="n">
        <v>200000</v>
      </c>
    </row>
    <row r="42" ht="28" customHeight="1">
      <c r="B42" s="43" t="inlineStr">
        <is>
          <t>第一年总营收</t>
        </is>
      </c>
      <c r="E42" s="56">
        <f>SUM(E38:E41)</f>
        <v/>
      </c>
    </row>
    <row r="44" ht="8" customHeight="1"/>
    <row r="45" ht="20" customHeight="1">
      <c r="B45" s="3" t="inlineStr">
        <is>
          <t>第一年支出估算</t>
        </is>
      </c>
    </row>
    <row r="46" ht="20" customHeight="1">
      <c r="B46" s="41" t="inlineStr">
        <is>
          <t>平台开发（小程序+后台+AI）</t>
        </is>
      </c>
      <c r="E46" s="42" t="n">
        <v>400000</v>
      </c>
    </row>
    <row r="47" ht="20" customHeight="1">
      <c r="B47" s="41" t="inlineStr">
        <is>
          <t>运营团队（3-5人）</t>
        </is>
      </c>
      <c r="E47" s="42" t="n">
        <v>450000</v>
      </c>
    </row>
    <row r="48" ht="20" customHeight="1">
      <c r="B48" s="41" t="inlineStr">
        <is>
          <t>活动成本（场地+讲师+物料）</t>
        </is>
      </c>
      <c r="E48" s="42" t="n">
        <v>250000</v>
      </c>
    </row>
    <row r="49" ht="20" customHeight="1">
      <c r="B49" s="41" t="inlineStr">
        <is>
          <t>内容制作+推广</t>
        </is>
      </c>
      <c r="E49" s="42" t="n">
        <v>200000</v>
      </c>
    </row>
    <row r="50" ht="20" customHeight="1">
      <c r="B50" s="41" t="inlineStr">
        <is>
          <t>办公及其他</t>
        </is>
      </c>
      <c r="E50" s="42" t="n">
        <v>100000</v>
      </c>
    </row>
    <row r="51" ht="24" customHeight="1">
      <c r="B51" s="57" t="inlineStr">
        <is>
          <t>第一年总支出</t>
        </is>
      </c>
      <c r="E51" s="58">
        <f>SUM(E46:E50)</f>
        <v/>
      </c>
    </row>
    <row r="53" ht="8" customHeight="1"/>
    <row r="54" ht="30" customHeight="1">
      <c r="B54" s="59" t="inlineStr">
        <is>
          <t>第一年预估利润</t>
        </is>
      </c>
      <c r="E54" s="60">
        <f>E42-E51</f>
        <v/>
      </c>
      <c r="F54" s="61" t="inlineStr">
        <is>
          <t>利润率</t>
        </is>
      </c>
      <c r="G54" s="62">
        <f>E54/E42</f>
        <v/>
      </c>
    </row>
  </sheetData>
  <mergeCells count="6">
    <mergeCell ref="B18:H18"/>
    <mergeCell ref="B6:H6"/>
    <mergeCell ref="B2:H2"/>
    <mergeCell ref="B29:H29"/>
    <mergeCell ref="B37:H37"/>
    <mergeCell ref="B45:H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7BBF"/>
    <outlinePr summaryBelow="1" summaryRight="1"/>
    <pageSetUpPr/>
  </sheetPr>
  <dimension ref="B2:G3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8" customHeight="1"/>
    <row r="2" ht="35" customHeight="1">
      <c r="B2" s="1" t="inlineStr">
        <is>
          <t>创造者·投资回报测算</t>
        </is>
      </c>
    </row>
    <row r="3" ht="18" customHeight="1">
      <c r="B3" s="2" t="inlineStr">
        <is>
          <t>CREATOR ROI ANALYSIS</t>
        </is>
      </c>
    </row>
    <row r="4" ht="8" customHeight="1"/>
    <row r="6" ht="20" customHeight="1">
      <c r="B6" s="63" t="inlineStr">
        <is>
          <t>种子期创造者（保证金 ¥2,000 可退）</t>
        </is>
      </c>
    </row>
    <row r="7" ht="22" customHeight="1">
      <c r="B7" s="9" t="inlineStr">
        <is>
          <t>项目</t>
        </is>
      </c>
      <c r="C7" s="9" t="inlineStr">
        <is>
          <t>保守</t>
        </is>
      </c>
      <c r="D7" s="9" t="inlineStr">
        <is>
          <t>中性</t>
        </is>
      </c>
      <c r="E7" s="9" t="inlineStr">
        <is>
          <t>乐观</t>
        </is>
      </c>
      <c r="F7" s="9" t="inlineStr">
        <is>
          <t>说明</t>
        </is>
      </c>
    </row>
    <row r="8" ht="20" customHeight="1">
      <c r="B8" s="41" t="inlineStr">
        <is>
          <t>月均拓圈内交易额</t>
        </is>
      </c>
      <c r="C8" s="28" t="n">
        <v>3000</v>
      </c>
      <c r="D8" s="28" t="n">
        <v>5000</v>
      </c>
      <c r="E8" s="28" t="n">
        <v>8000</v>
      </c>
      <c r="F8" s="38" t="inlineStr"/>
    </row>
    <row r="9" ht="20" customHeight="1">
      <c r="B9" s="41" t="inlineStr">
        <is>
          <t>月均圈外引流交易额</t>
        </is>
      </c>
      <c r="C9" s="28" t="n">
        <v>1000</v>
      </c>
      <c r="D9" s="28" t="n">
        <v>3000</v>
      </c>
      <c r="E9" s="28" t="n">
        <v>5000</v>
      </c>
      <c r="F9" s="38" t="inlineStr">
        <is>
          <t>拓圈品牌背书</t>
        </is>
      </c>
    </row>
    <row r="10" ht="20" customHeight="1">
      <c r="B10" s="41" t="inlineStr">
        <is>
          <t>年总交易额</t>
        </is>
      </c>
      <c r="C10" s="28" t="n">
        <v>48000</v>
      </c>
      <c r="D10" s="28" t="n">
        <v>96000</v>
      </c>
      <c r="E10" s="28" t="n">
        <v>156000</v>
      </c>
      <c r="F10" s="38" t="inlineStr"/>
    </row>
    <row r="11" ht="20" customHeight="1">
      <c r="B11" s="41" t="inlineStr">
        <is>
          <t>扣除8%抽成后</t>
        </is>
      </c>
      <c r="C11" s="28" t="n">
        <v>44160</v>
      </c>
      <c r="D11" s="28" t="n">
        <v>88320</v>
      </c>
      <c r="E11" s="28" t="n">
        <v>143520</v>
      </c>
      <c r="F11" s="38" t="inlineStr"/>
    </row>
    <row r="12" ht="20" customHeight="1">
      <c r="B12" s="41" t="inlineStr">
        <is>
          <t>扣除运营成本后年利润</t>
        </is>
      </c>
      <c r="C12" s="28" t="n">
        <v>30000</v>
      </c>
      <c r="D12" s="28" t="n">
        <v>60000</v>
      </c>
      <c r="E12" s="28" t="n">
        <v>100000</v>
      </c>
      <c r="F12" s="38" t="inlineStr"/>
    </row>
    <row r="13" ht="20" customHeight="1">
      <c r="B13" s="41" t="inlineStr">
        <is>
          <t>拓圈带来的增量收入</t>
        </is>
      </c>
      <c r="C13" s="28" t="n">
        <v>12000</v>
      </c>
      <c r="D13" s="28" t="n">
        <v>30000</v>
      </c>
      <c r="E13" s="28" t="n">
        <v>50000</v>
      </c>
      <c r="F13" s="38" t="inlineStr"/>
    </row>
    <row r="14" ht="20" customHeight="1">
      <c r="B14" s="41" t="inlineStr">
        <is>
          <t>号段1年后增值</t>
        </is>
      </c>
      <c r="C14" s="28" t="n">
        <v>1000</v>
      </c>
      <c r="D14" s="28" t="n">
        <v>3000</v>
      </c>
      <c r="E14" s="28" t="n">
        <v>8000</v>
      </c>
      <c r="F14" s="38" t="inlineStr">
        <is>
          <t>参考QQ靓号逻辑</t>
        </is>
      </c>
    </row>
    <row r="15" ht="8" customHeight="1"/>
    <row r="16" ht="24" customHeight="1">
      <c r="B16" s="64" t="inlineStr">
        <is>
          <t>总回报 = 增量收入 + 号段增值</t>
        </is>
      </c>
      <c r="C16" s="65" t="n">
        <v>13000</v>
      </c>
      <c r="D16" s="66" t="n">
        <v>33000</v>
      </c>
      <c r="E16" s="67" t="n">
        <v>58000</v>
      </c>
    </row>
    <row r="17" ht="24" customHeight="1">
      <c r="B17" s="25" t="inlineStr">
        <is>
          <t>投资回报率 ROI</t>
        </is>
      </c>
      <c r="C17" s="68" t="inlineStr">
        <is>
          <t>650%</t>
        </is>
      </c>
      <c r="D17" s="68" t="inlineStr">
        <is>
          <t>1650%</t>
        </is>
      </c>
      <c r="E17" s="68" t="inlineStr">
        <is>
          <t>2900%</t>
        </is>
      </c>
    </row>
    <row r="19" ht="22" customHeight="1">
      <c r="B19" s="34" t="inlineStr">
        <is>
          <t>结论：种子期投入¥2,000，最保守1年后回报¥13,000+，ROI超650%</t>
        </is>
      </c>
    </row>
    <row r="21" ht="8" customHeight="1"/>
    <row r="22" ht="20" customHeight="1">
      <c r="B22" s="3" t="inlineStr">
        <is>
          <t>正式期创造者（年费¥2,999 + 保证金¥5,000）</t>
        </is>
      </c>
    </row>
    <row r="23" ht="22" customHeight="1">
      <c r="B23" s="9" t="inlineStr">
        <is>
          <t>项目</t>
        </is>
      </c>
      <c r="C23" s="9" t="inlineStr">
        <is>
          <t>保守</t>
        </is>
      </c>
      <c r="D23" s="9" t="inlineStr">
        <is>
          <t>中性</t>
        </is>
      </c>
      <c r="E23" s="9" t="inlineStr">
        <is>
          <t>乐观</t>
        </is>
      </c>
      <c r="F23" s="9" t="inlineStr">
        <is>
          <t>说明</t>
        </is>
      </c>
    </row>
    <row r="24" ht="20" customHeight="1">
      <c r="B24" s="41" t="inlineStr">
        <is>
          <t>月均总交易额</t>
        </is>
      </c>
      <c r="C24" s="28" t="n">
        <v>5000</v>
      </c>
      <c r="D24" s="28" t="n">
        <v>10000</v>
      </c>
      <c r="E24" s="28" t="n">
        <v>15000</v>
      </c>
      <c r="F24" s="38" t="inlineStr"/>
    </row>
    <row r="25" ht="20" customHeight="1">
      <c r="B25" s="41" t="inlineStr">
        <is>
          <t>年交易额</t>
        </is>
      </c>
      <c r="C25" s="28" t="n">
        <v>60000</v>
      </c>
      <c r="D25" s="28" t="n">
        <v>120000</v>
      </c>
      <c r="E25" s="28" t="n">
        <v>180000</v>
      </c>
      <c r="F25" s="38" t="inlineStr"/>
    </row>
    <row r="26" ht="20" customHeight="1">
      <c r="B26" s="41" t="inlineStr">
        <is>
          <t>扣除8%抽成后</t>
        </is>
      </c>
      <c r="C26" s="28" t="n">
        <v>55200</v>
      </c>
      <c r="D26" s="28" t="n">
        <v>110400</v>
      </c>
      <c r="E26" s="28" t="n">
        <v>165600</v>
      </c>
      <c r="F26" s="38" t="inlineStr"/>
    </row>
    <row r="27" ht="20" customHeight="1">
      <c r="B27" s="41" t="inlineStr">
        <is>
          <t>扣除运营成本后年利润</t>
        </is>
      </c>
      <c r="C27" s="28" t="n">
        <v>36000</v>
      </c>
      <c r="D27" s="28" t="n">
        <v>72000</v>
      </c>
      <c r="E27" s="28" t="n">
        <v>110000</v>
      </c>
      <c r="F27" s="38" t="inlineStr"/>
    </row>
    <row r="28" ht="20" customHeight="1">
      <c r="B28" s="41" t="inlineStr">
        <is>
          <t>拓圈带来的增量收入</t>
        </is>
      </c>
      <c r="C28" s="28" t="n">
        <v>15000</v>
      </c>
      <c r="D28" s="28" t="n">
        <v>40000</v>
      </c>
      <c r="E28" s="28" t="n">
        <v>60000</v>
      </c>
      <c r="F28" s="38" t="inlineStr"/>
    </row>
    <row r="29" ht="20" customHeight="1">
      <c r="B29" s="41" t="inlineStr">
        <is>
          <t>号段增值（排名靠后）</t>
        </is>
      </c>
      <c r="C29" s="28" t="n">
        <v>500</v>
      </c>
      <c r="D29" s="28" t="n">
        <v>2000</v>
      </c>
      <c r="E29" s="28" t="n">
        <v>5000</v>
      </c>
      <c r="F29" s="38" t="inlineStr"/>
    </row>
    <row r="30" ht="24" customHeight="1">
      <c r="B30" s="69" t="inlineStr">
        <is>
          <t>总回报</t>
        </is>
      </c>
      <c r="C30" s="66" t="n">
        <v>15500</v>
      </c>
      <c r="D30" s="66" t="n">
        <v>42000</v>
      </c>
      <c r="E30" s="66" t="n">
        <v>65000</v>
      </c>
    </row>
  </sheetData>
  <mergeCells count="4">
    <mergeCell ref="B22:G22"/>
    <mergeCell ref="B2:G2"/>
    <mergeCell ref="B19:G19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A875"/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8" customHeight="1"/>
    <row r="2" ht="35" customHeight="1">
      <c r="B2" s="1" t="inlineStr">
        <is>
          <t>号段经济模型</t>
        </is>
      </c>
    </row>
    <row r="3" ht="18" customHeight="1">
      <c r="B3" s="2" t="inlineStr">
        <is>
          <t>NUMBER SEGMENT ASSET MODEL — 号=资产，不是消费</t>
        </is>
      </c>
    </row>
    <row r="4" ht="8" customHeight="1"/>
    <row r="6" ht="20" customHeight="1">
      <c r="B6" s="3" t="inlineStr">
        <is>
          <t>号段价值三层逻辑</t>
        </is>
      </c>
    </row>
    <row r="7" ht="22" customHeight="1">
      <c r="B7" s="9" t="inlineStr">
        <is>
          <t>价值层级</t>
        </is>
      </c>
      <c r="C7" s="9" t="inlineStr">
        <is>
          <t>说明</t>
        </is>
      </c>
      <c r="D7" s="9" t="inlineStr">
        <is>
          <t>类比</t>
        </is>
      </c>
      <c r="E7" s="9" t="inlineStr">
        <is>
          <t>拓圈场景</t>
        </is>
      </c>
    </row>
    <row r="8" ht="22" customHeight="1">
      <c r="B8" s="64" t="inlineStr">
        <is>
          <t>第一层：稀缺性</t>
        </is>
      </c>
      <c r="C8" s="36" t="inlineStr">
        <is>
          <t>号码越靠前越值钱</t>
        </is>
      </c>
      <c r="D8" s="8" t="inlineStr">
        <is>
          <t>QQ靓号/车牌号</t>
        </is>
      </c>
      <c r="E8" s="8" t="inlineStr">
        <is>
          <t>1-10号预留拍卖</t>
        </is>
      </c>
    </row>
    <row r="9" ht="22" customHeight="1">
      <c r="B9" s="69" t="inlineStr">
        <is>
          <t>第二层：权重积累</t>
        </is>
      </c>
      <c r="C9" s="36" t="inlineStr">
        <is>
          <t>越早进来积累越多</t>
        </is>
      </c>
      <c r="D9" s="8" t="inlineStr">
        <is>
          <t>抖音大号权重</t>
        </is>
      </c>
      <c r="E9" s="8" t="inlineStr">
        <is>
          <t>高权重优先曝光</t>
        </is>
      </c>
    </row>
    <row r="10" ht="22" customHeight="1">
      <c r="B10" s="70" t="inlineStr">
        <is>
          <t>第三层：可交易</t>
        </is>
      </c>
      <c r="C10" s="36" t="inlineStr">
        <is>
          <t>不想做可以卖号</t>
        </is>
      </c>
      <c r="D10" s="8" t="inlineStr">
        <is>
          <t>游戏账号交易</t>
        </is>
      </c>
      <c r="E10" s="8" t="inlineStr">
        <is>
          <t>私下交易，平台不介入</t>
        </is>
      </c>
    </row>
    <row r="12" ht="8" customHeight="1"/>
    <row r="13" ht="20" customHeight="1">
      <c r="B13" s="71" t="inlineStr">
        <is>
          <t>号段增值时间曲线（产品型创造者为例）</t>
        </is>
      </c>
    </row>
    <row r="14" ht="22" customHeight="1">
      <c r="B14" s="9" t="inlineStr">
        <is>
          <t>时间</t>
        </is>
      </c>
      <c r="C14" s="9" t="inlineStr">
        <is>
          <t>保守</t>
        </is>
      </c>
      <c r="D14" s="9" t="inlineStr">
        <is>
          <t>中性</t>
        </is>
      </c>
      <c r="E14" s="9" t="inlineStr">
        <is>
          <t>乐观</t>
        </is>
      </c>
    </row>
    <row r="15" ht="20" customHeight="1">
      <c r="B15" s="36" t="inlineStr">
        <is>
          <t>入圈时</t>
        </is>
      </c>
      <c r="C15" s="28" t="n">
        <v>2000</v>
      </c>
      <c r="D15" s="28" t="n">
        <v>2000</v>
      </c>
      <c r="E15" s="28" t="n">
        <v>2000</v>
      </c>
    </row>
    <row r="16" ht="20" customHeight="1">
      <c r="B16" s="36" t="inlineStr">
        <is>
          <t>3个月</t>
        </is>
      </c>
      <c r="C16" s="28" t="n">
        <v>2500</v>
      </c>
      <c r="D16" s="28" t="n">
        <v>3500</v>
      </c>
      <c r="E16" s="28" t="n">
        <v>5000</v>
      </c>
    </row>
    <row r="17" ht="20" customHeight="1">
      <c r="B17" s="36" t="inlineStr">
        <is>
          <t>6个月</t>
        </is>
      </c>
      <c r="C17" s="28" t="n">
        <v>3000</v>
      </c>
      <c r="D17" s="28" t="n">
        <v>5000</v>
      </c>
      <c r="E17" s="28" t="n">
        <v>8000</v>
      </c>
    </row>
    <row r="18" ht="20" customHeight="1">
      <c r="B18" s="36" t="inlineStr">
        <is>
          <t>12个月</t>
        </is>
      </c>
      <c r="C18" s="28" t="n">
        <v>4000</v>
      </c>
      <c r="D18" s="28" t="n">
        <v>8000</v>
      </c>
      <c r="E18" s="28" t="n">
        <v>15000</v>
      </c>
    </row>
    <row r="19" ht="20" customHeight="1">
      <c r="B19" s="36" t="inlineStr">
        <is>
          <t>24个月</t>
        </is>
      </c>
      <c r="C19" s="28" t="n">
        <v>5000</v>
      </c>
      <c r="D19" s="28" t="n">
        <v>12000</v>
      </c>
      <c r="E19" s="28" t="n">
        <v>30000</v>
      </c>
    </row>
    <row r="21" ht="8" customHeight="1"/>
    <row r="22" ht="20" customHeight="1">
      <c r="B22" s="3" t="inlineStr">
        <is>
          <t>号段交易场景</t>
        </is>
      </c>
    </row>
    <row r="23" ht="22" customHeight="1">
      <c r="B23" s="9" t="inlineStr">
        <is>
          <t>场景</t>
        </is>
      </c>
      <c r="C23" s="9" t="inlineStr">
        <is>
          <t>买方动机</t>
        </is>
      </c>
      <c r="D23" s="9" t="inlineStr">
        <is>
          <t>卖方收益</t>
        </is>
      </c>
      <c r="E23" s="9" t="inlineStr">
        <is>
          <t>平台角色</t>
        </is>
      </c>
    </row>
    <row r="24" ht="20" customHeight="1">
      <c r="B24" s="41" t="inlineStr">
        <is>
          <t>大佬入局</t>
        </is>
      </c>
      <c r="C24" s="8" t="inlineStr">
        <is>
          <t>买高权重号直接运营</t>
        </is>
      </c>
      <c r="D24" s="8" t="inlineStr">
        <is>
          <t>¥2,000→卖1-2万</t>
        </is>
      </c>
      <c r="E24" s="72" t="inlineStr">
        <is>
          <t>不介入私下交易</t>
        </is>
      </c>
    </row>
    <row r="25" ht="20" customHeight="1">
      <c r="B25" s="41" t="inlineStr">
        <is>
          <t>品类切换</t>
        </is>
      </c>
      <c r="C25" s="8" t="inlineStr">
        <is>
          <t>买成熟号换产品线</t>
        </is>
      </c>
      <c r="D25" s="8" t="inlineStr">
        <is>
          <t>号段增值兑现</t>
        </is>
      </c>
      <c r="E25" s="72" t="inlineStr">
        <is>
          <t>权重跟着号走</t>
        </is>
      </c>
    </row>
    <row r="26" ht="20" customHeight="1">
      <c r="B26" s="41" t="inlineStr">
        <is>
          <t>城市扩张</t>
        </is>
      </c>
      <c r="C26" s="8" t="inlineStr">
        <is>
          <t>买南京号做本地化</t>
        </is>
      </c>
      <c r="D26" s="8" t="inlineStr">
        <is>
          <t>跨城溢价</t>
        </is>
      </c>
      <c r="E26" s="72" t="inlineStr">
        <is>
          <t>支持跨城转让</t>
        </is>
      </c>
    </row>
    <row r="27" ht="20" customHeight="1">
      <c r="B27" s="41" t="inlineStr">
        <is>
          <t>退出变现</t>
        </is>
      </c>
      <c r="C27" s="8" t="inlineStr">
        <is>
          <t>不做了回收投入</t>
        </is>
      </c>
      <c r="D27" s="8" t="inlineStr">
        <is>
          <t>保证金+号段增值</t>
        </is>
      </c>
      <c r="E27" s="72" t="inlineStr">
        <is>
          <t>退保证金</t>
        </is>
      </c>
    </row>
  </sheetData>
  <mergeCells count="4">
    <mergeCell ref="B2:F2"/>
    <mergeCell ref="B22:F22"/>
    <mergeCell ref="B13:F13"/>
    <mergeCell ref="B6:F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2C2A"/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1" ht="8" customHeight="1"/>
    <row r="2" ht="35" customHeight="1">
      <c r="B2" s="1" t="inlineStr">
        <is>
          <t>拓圈 x 无尽冬日</t>
        </is>
      </c>
    </row>
    <row r="3" ht="18" customHeight="1">
      <c r="B3" s="2" t="inlineStr">
        <is>
          <t>GAME MECHANICS BENCHMARK</t>
        </is>
      </c>
    </row>
    <row r="4" ht="8" customHeight="1"/>
    <row r="6" ht="20" customHeight="1">
      <c r="B6" s="3" t="inlineStr">
        <is>
          <t>核心机制对照</t>
        </is>
      </c>
    </row>
    <row r="7" ht="22" customHeight="1">
      <c r="B7" s="9" t="inlineStr">
        <is>
          <t>无尽冬日</t>
        </is>
      </c>
      <c r="C7" s="9" t="inlineStr">
        <is>
          <t>拓圈对标</t>
        </is>
      </c>
      <c r="D7" s="9" t="inlineStr">
        <is>
          <t>核心差异</t>
        </is>
      </c>
    </row>
    <row r="8" ht="20" customHeight="1">
      <c r="B8" s="36" t="inlineStr">
        <is>
          <t>联盟</t>
        </is>
      </c>
      <c r="C8" s="73" t="inlineStr">
        <is>
          <t>星球（王国）</t>
        </is>
      </c>
      <c r="D8" s="38" t="inlineStr">
        <is>
          <t>拓圈=增值型，无尽=消耗型</t>
        </is>
      </c>
    </row>
    <row r="9" ht="20" customHeight="1">
      <c r="B9" s="36" t="inlineStr">
        <is>
          <t>联盟科技</t>
        </is>
      </c>
      <c r="C9" s="73" t="inlineStr">
        <is>
          <t>圈科技</t>
        </is>
      </c>
      <c r="D9" s="38" t="inlineStr">
        <is>
          <t>内容权重+10%等真实加成</t>
        </is>
      </c>
    </row>
    <row r="10" ht="20" customHeight="1">
      <c r="B10" s="36" t="inlineStr">
        <is>
          <t>联盟大作战</t>
        </is>
      </c>
      <c r="C10" s="73" t="inlineStr">
        <is>
          <t>圈月度挑战赛</t>
        </is>
      </c>
      <c r="D10" s="38" t="inlineStr">
        <is>
          <t>Top3获平台集体赋能</t>
        </is>
      </c>
    </row>
    <row r="11" ht="20" customHeight="1">
      <c r="B11" s="36" t="inlineStr">
        <is>
          <t>互助加速</t>
        </is>
      </c>
      <c r="C11" s="73" t="inlineStr">
        <is>
          <t>拓圈互助</t>
        </is>
      </c>
      <c r="D11" s="38" t="inlineStr">
        <is>
          <t>转发/帮工→双方得积分</t>
        </is>
      </c>
    </row>
    <row r="12" ht="20" customHeight="1">
      <c r="B12" s="36" t="inlineStr">
        <is>
          <t>联盟商店</t>
        </is>
      </c>
      <c r="C12" s="73" t="inlineStr">
        <is>
          <t>圈商店</t>
        </is>
      </c>
      <c r="D12" s="38" t="inlineStr">
        <is>
          <t>贡献值换权益/商品/资源</t>
        </is>
      </c>
    </row>
    <row r="13" ht="20" customHeight="1">
      <c r="B13" s="36" t="inlineStr">
        <is>
          <t>资源永远不够</t>
        </is>
      </c>
      <c r="C13" s="73" t="inlineStr">
        <is>
          <t>逐步解锁功能</t>
        </is>
      </c>
      <c r="D13" s="38" t="inlineStr">
        <is>
          <t>拓圈=真本事，无尽=虚拟数字</t>
        </is>
      </c>
    </row>
    <row r="14" ht="20" customHeight="1">
      <c r="B14" s="36" t="inlineStr">
        <is>
          <t>联盟排名</t>
        </is>
      </c>
      <c r="C14" s="73" t="inlineStr">
        <is>
          <t>星球排名</t>
        </is>
      </c>
      <c r="D14" s="38" t="inlineStr">
        <is>
          <t>排名=流量分配权</t>
        </is>
      </c>
    </row>
    <row r="15" ht="20" customHeight="1">
      <c r="B15" s="36" t="inlineStr">
        <is>
          <t>限时活动</t>
        </is>
      </c>
      <c r="C15" s="73" t="inlineStr">
        <is>
          <t>活动节奏</t>
        </is>
      </c>
      <c r="D15" s="38" t="inlineStr">
        <is>
          <t>锦上添花不是保命必需</t>
        </is>
      </c>
    </row>
    <row r="16" ht="20" customHeight="1">
      <c r="B16" s="36" t="inlineStr">
        <is>
          <t>付费加速</t>
        </is>
      </c>
      <c r="C16" s="73" t="inlineStr">
        <is>
          <t>付费加速</t>
        </is>
      </c>
      <c r="D16" s="38" t="inlineStr">
        <is>
          <t>拓圈加速=真资源</t>
        </is>
      </c>
    </row>
    <row r="17" ht="20" customHeight="1">
      <c r="B17" s="36" t="inlineStr">
        <is>
          <t>跳盟限制</t>
        </is>
      </c>
      <c r="C17" s="73" t="inlineStr">
        <is>
          <t>退出冷却期</t>
        </is>
      </c>
      <c r="D17" s="38" t="inlineStr">
        <is>
          <t>退出可退保证金+号段可卖</t>
        </is>
      </c>
    </row>
    <row r="19" ht="8" customHeight="1"/>
    <row r="20" ht="20" customHeight="1">
      <c r="B20" s="27" t="inlineStr">
        <is>
          <t>拓圈活动节奏</t>
        </is>
      </c>
    </row>
    <row r="21" ht="22" customHeight="1">
      <c r="B21" s="9" t="inlineStr">
        <is>
          <t>活动</t>
        </is>
      </c>
      <c r="C21" s="9" t="inlineStr">
        <is>
          <t>频率</t>
        </is>
      </c>
      <c r="D21" s="9" t="inlineStr">
        <is>
          <t>焦虑程度</t>
        </is>
      </c>
    </row>
    <row r="22" ht="20" customHeight="1">
      <c r="B22" s="41" t="inlineStr">
        <is>
          <t>圈内周挑战</t>
        </is>
      </c>
      <c r="C22" s="37" t="inlineStr">
        <is>
          <t>每周</t>
        </is>
      </c>
      <c r="D22" s="8" t="inlineStr">
        <is>
          <t>可选，参加更好玩</t>
        </is>
      </c>
    </row>
    <row r="23" ht="20" customHeight="1">
      <c r="B23" s="41" t="inlineStr">
        <is>
          <t>月度挑战赛</t>
        </is>
      </c>
      <c r="C23" s="37" t="inlineStr">
        <is>
          <t>每月</t>
        </is>
      </c>
      <c r="D23" s="8" t="inlineStr">
        <is>
          <t>适度紧迫感</t>
        </is>
      </c>
    </row>
    <row r="24" ht="20" customHeight="1">
      <c r="B24" s="41" t="inlineStr">
        <is>
          <t>季度黑马榜</t>
        </is>
      </c>
      <c r="C24" s="37" t="inlineStr">
        <is>
          <t>每季</t>
        </is>
      </c>
      <c r="D24" s="8" t="inlineStr">
        <is>
          <t>荣誉驱动</t>
        </is>
      </c>
    </row>
    <row r="25" ht="20" customHeight="1">
      <c r="B25" s="41" t="inlineStr">
        <is>
          <t>城市圈对抗</t>
        </is>
      </c>
      <c r="C25" s="37" t="inlineStr">
        <is>
          <t>每半年</t>
        </is>
      </c>
      <c r="D25" s="8" t="inlineStr">
        <is>
          <t>大事件</t>
        </is>
      </c>
    </row>
    <row r="26" ht="20" customHeight="1">
      <c r="B26" s="41" t="inlineStr">
        <is>
          <t>集体赋能事件</t>
        </is>
      </c>
      <c r="C26" s="37" t="inlineStr">
        <is>
          <t>不定期</t>
        </is>
      </c>
      <c r="D26" s="8" t="inlineStr">
        <is>
          <t>惊喜感（拓圈独创）</t>
        </is>
      </c>
    </row>
    <row r="27" ht="8" customHeight="1"/>
    <row r="28" ht="22" customHeight="1">
      <c r="B28" s="34" t="inlineStr">
        <is>
          <t>设计原则：参加是锦上添花不是保命必需，不参加没损失，参加了有额外奖励。拓圈底色是"好玩有趣"，不是恐惧。</t>
        </is>
      </c>
    </row>
  </sheetData>
  <mergeCells count="4">
    <mergeCell ref="B2:F2"/>
    <mergeCell ref="B20:F20"/>
    <mergeCell ref="B28:F28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2026-04-29T10:52:46Z</dcterms:created>
  <dcterms:modified xsi:type="dcterms:W3CDTF">2026-04-29T10:52:46Z</dcterms:modified>
</cp:coreProperties>
</file>